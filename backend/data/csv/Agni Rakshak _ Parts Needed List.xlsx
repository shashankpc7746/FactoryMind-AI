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<sst xmlns="http://schemas.openxmlformats.org/spreadsheetml/2006/main" count="113" uniqueCount="75">
  <si>
    <t>Component</t>
  </si>
  <si>
    <t>Specific Model Needed</t>
  </si>
  <si>
    <t>Specification Details (Buying Guide)</t>
  </si>
  <si>
    <t>Purpose</t>
  </si>
  <si>
    <t>Approx. Cost (INR)</t>
  </si>
  <si>
    <t>Online Purchase Link</t>
  </si>
  <si>
    <t>Actual Cost (INR)</t>
  </si>
  <si>
    <t>Microcontroller</t>
  </si>
  <si>
    <t>Arduino Uno R3</t>
  </si>
  <si>
    <t>Voltage: 7V-12V (via VIN pin) or 5V (USB). 
Chip: ATmega328P. 
Type: SMD or DIP version (both work).</t>
  </si>
  <si>
    <t>The brain. It reads data from sensors (Weight &amp; Gas) and sends commands to the output modules (Display, Servo, Buzzer).</t>
  </si>
  <si>
    <t>₹450 - ₹550</t>
  </si>
  <si>
    <t>https://www.amazon.in/roboCraze-Arduino-Development-Board-cable/dp/B07G4C4D8F/ref=srd_d_vsims_d_sccl_1_3/260-3680291-7145869?pd_rd_w=Uisy1&amp;content-id=amzn1.sym.7ccbe032-5929-4c88-ab39-4923842061df&amp;pf_rd_p=7ccbe032-5929-4c88-ab39-4923842061df&amp;pf_rd_r=RY700Q6CC8KWRW74108D&amp;pd_rd_wg=saSvP&amp;pd_rd_r=c686d6c1-0de2-4a8e-97cf-e8ce016509ec&amp;pd_rd_i=B07G4C4D8F&amp;psc=1</t>
  </si>
  <si>
    <t>Weight Sensors</t>
  </si>
  <si>
    <t>4x Load Cells (Half-Bridge)</t>
  </si>
  <si>
    <t>Model: YZC-161 or similar. 
Capacity: 50kg per cell (Total 200kg). 
Wires: 3-wire interface (Red, Black, White).</t>
  </si>
  <si>
    <t>Acts as the "feet" of the cylinder stand. Used to measure the physical weight of the cylinder to calculate remaining gas.</t>
  </si>
  <si>
    <t>₹250 (Set of 4)</t>
  </si>
  <si>
    <t>https://robu.in/product/phaeton-load-cell-sensor-czl-e-weighing-pressed-down/?gad_source=1&amp;gad_campaignid=20363337560&amp;gbraid=0AAAAADvLFWez3AKzpO17cn1lfMWrPkKf2&amp;gclid=CjwKCAiAmKnKBhBrEiwAaqAnZ5C1vrcQ14PdBUFj9rzmD3gv2png3NrIbx1r2i8jH_fgRebOQ8FxPBoCD-UQAvD_BwE#tab-description</t>
  </si>
  <si>
    <t>Load Amplifier</t>
  </si>
  <si>
    <t>HX711 Module</t>
  </si>
  <si>
    <t>Resolution: 24-Bit ADC. 
Voltage: 2.6V - 5.5V. 
Interface: 2 pins (DT, SCK) to Arduino.</t>
  </si>
  <si>
    <t>Interprets the tiny electrical signals from the 4 load cells and converts them into a digital number the Arduino can understand.</t>
  </si>
  <si>
    <t>₹100 - ₹150</t>
  </si>
  <si>
    <t>https://www.amazon.in/KitsGuru-Dual-Channel-Precision-Weight-Pressure/dp/B078K5SL3M</t>
  </si>
  <si>
    <t>Gas Sensor</t>
  </si>
  <si>
    <t>MQ-6 Gas Sensor</t>
  </si>
  <si>
    <t>Target Gas: LPG, Isobutane, Propane. 
Output: Analog (A0) and Digital (D0). 
Voltage: 5V.</t>
  </si>
  <si>
    <t>Detects gas leakages near the valve. Sends a signal to Arduino if gas concentration exceeds the safe limit.</t>
  </si>
  <si>
    <t>₹150 - ₹200</t>
  </si>
  <si>
    <t>https://www.amazon.in/Circuit-Leakage-Detector-development-programming/dp/B08RDKRXY3</t>
  </si>
  <si>
    <t>Valve Motor</t>
  </si>
  <si>
    <t>MG996R Servo (Metal Gear)</t>
  </si>
  <si>
    <t>Torque: 11 kg-cm (at 6V). 
Rotation: 180 Degree (Do NOT buy 360/Continuous). 
Current: Stall current can hit 2.5A.</t>
  </si>
  <si>
    <t>Mechanically rotates the regulator knob to the "OFF" position when a leak is detected by the MQ-6 sensor.</t>
  </si>
  <si>
    <t>₹350 - ₹450</t>
  </si>
  <si>
    <t>https://www.amazon.in/Embeddinator-Servo-Motor-MG996-TowerPro/dp/B09YDFP1VX</t>
  </si>
  <si>
    <t>Voltage Regulator</t>
  </si>
  <si>
    <t>LM2596 Buck Converter</t>
  </si>
  <si>
    <t>Type: DC-DC Step Down. 
Input: 4V-35V. Output: 1.23V-30V (Adjustable). 
Max Current: 3A.</t>
  </si>
  <si>
    <t>Crucial Safety Component. Takes high voltage from the batteries and converts it to a stable 5V specifically to power the high-current Servo motor.</t>
  </si>
  <si>
    <t>https://www.amazon.in/Embeddinator-LM2596-DC-DC-Step-Converter/dp/B0B18MW5CV</t>
  </si>
  <si>
    <t>Display</t>
  </si>
  <si>
    <t>16x2 LCD with I2C Backpack</t>
  </si>
  <si>
    <t>Address: Usually 0x27 or 0x3F. 
Pins: 4 (VCC, GND, SDA, SCL). 
Backlight: Blue or Green.</t>
  </si>
  <si>
    <t>Visual interface for the user. Shows "Gas Left (kg)" and "Days Remaining" estimates.</t>
  </si>
  <si>
    <t>₹250 - ₹350</t>
  </si>
  <si>
    <t>https://www.amazon.in/Circuit-components-Alphanumeric-Display-Interface/dp/B09XXP5NV7?source=ps-sl-shoppingads-lpcontext&amp;ref_=fplfs&amp;psc=1&amp;smid=ANQV8D3OFU21</t>
  </si>
  <si>
    <t>Alarm</t>
  </si>
  <si>
    <t>Active Piezo Buzzer</t>
  </si>
  <si>
    <t>Type: 5V Active. 
Identification: Look for a "Remove Seal" sticker on top.</t>
  </si>
  <si>
    <t>Provides an audible alert (Beep) to warn the user immediately when a gas leak is detected.</t>
  </si>
  <si>
    <t>₹20 - ₹40</t>
  </si>
  <si>
    <t>https://robocraze.com/products/3-24v-active-piezo-electronic-buzzer-with-continuous-sound-alarm-tone?variant=47790875934944&amp;country=IN&amp;currency=INR&amp;utm_medium=product_sync&amp;utm_source=google&amp;utm_content=sag_organic&amp;utm_campaign=sag_organic&amp;srsltid=AfmBOop7gwt4GuDY0f-pJYkTd2y4cNmZjBy6iaZBTlCMt6gKcSJ71ipJSuw</t>
  </si>
  <si>
    <t>Batteries</t>
  </si>
  <si>
    <t>2x 18650 Li-Ion Cells</t>
  </si>
  <si>
    <t>Voltage: 3.7V per cell (Total ~7.4V in series). 
Capacity: &gt;2000mAh recommended.</t>
  </si>
  <si>
    <t>The main power source. Provides high current capacity to run the Servo and Arduino for the duration of the presentation.</t>
  </si>
  <si>
    <t>₹200 (for 2)</t>
  </si>
  <si>
    <t>https://robu.in/product/dmegc-inr18650-26e-3-7v-2600mah-li-ion-battery/?gad_source=1&amp;gad_campaignid=17427802559&amp;gbraid=0AAAAADvLFWcHM-epO3ROPZgDCSGgx5XKS&amp;gclid=CjwKCAiAmKnKBhBrEiwAaqAnZ6YbVj28PdczUh-6VsWTyIhbDVB_E8TAsc_zNOQuxwcr45g7_DWJqhoCavAQAvD_BwE</t>
  </si>
  <si>
    <t>Battery Holder</t>
  </si>
  <si>
    <t>2-Slot 18650 Holder</t>
  </si>
  <si>
    <t>Wiring: Series connection (check that it has Red/Black wires).</t>
  </si>
  <si>
    <t>Holds the batteries securely and connects them to the LM2596 and Arduino VIN pin.</t>
  </si>
  <si>
    <t>₹50 - ₹80</t>
  </si>
  <si>
    <t>https://robu.in/product/2-x-18650-cell-box-without-cover/?gad_source=1&amp;gad_campaignid=17427802559&amp;gbraid=0AAAAADvLFWcHM-epO3ROPZgDCSGgx5XKS&amp;gclid=CjwKCAiAmKnKBhBrEiwAaqAnZ3oWnbeTqXz27U0oWs4rK6icb0kPt-qb4W4YxEQ03vh-1anf1KeAixoC73YQAvD_BwE</t>
  </si>
  <si>
    <t>Wiring</t>
  </si>
  <si>
    <t>Jumper Wires &amp; Breadboard</t>
  </si>
  <si>
    <t>Types: Male-to-Male, Male-to-Female, Female-to-Female.</t>
  </si>
  <si>
    <t>Connects all components together without soldering.</t>
  </si>
  <si>
    <t>https://robu.in/product/20-cm-40-pin-dupont-male-male-male-female-female-female-cable-combo/?gad_source=1&amp;gad_campaignid=17427802559&amp;gbraid=0AAAAADvLFWcHM-epO3ROPZgDCSGgx5XKS&amp;gclid=CjwKCAiAmKnKBhBrEiwAaqAnZwe55t_3sLVLbSqAvDklDHoiQkYdAhBlkA5lGZvAZ4CCwNK3pUEkCBoC-4MQAvD_BwE</t>
  </si>
  <si>
    <t>Total</t>
  </si>
  <si>
    <t>2300 approx.</t>
  </si>
  <si>
    <t>Gr. 55 -Component( Agni Rakshak)</t>
  </si>
  <si>
    <t>Gr. 56 components ( hybrid energy)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</si>
</sst>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u/>
      <color rgb="FF0000FF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/>
    </xf>
    <xf borderId="0" fillId="2" fontId="6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Sheet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2:H14" displayName="Component_Purchase_Specs" name="Component_Purchase_Specs" id="1">
  <tableColumns count="7">
    <tableColumn totalsRowLabel="Total" name="Component" id="1"/>
    <tableColumn name="Specific Model Needed" id="2"/>
    <tableColumn name="Specification Details (Buying Guide)" id="3"/>
    <tableColumn name="Purpose" id="4"/>
    <tableColumn totalsRowLabel="2300 approx." name="Approx. Cost (INR)" id="5"/>
    <tableColumn name="Online Purchase Link" id="6"/>
    <tableColumn totalsRowFunction="custom" name="Actual Cost (INR)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totalsRowCount="1" ref="A1:C13" displayName="Table_1" name="Table_1" id="2">
  <tableColumns count="3">
    <tableColumn totalsRowLabel="Total" name="Gr. 55 -Component( Agni Rakshak)" id="1"/>
    <tableColumn name="Specific Model Needed" id="2"/>
    <tableColumn name="Specification Details (Buying Guide)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obu.in/product/20-cm-40-pin-dupont-male-male-male-female-female-female-cable-combo/?gad_source=1&amp;gad_campaignid=17427802559&amp;gbraid=0AAAAADvLFWcHM-epO3ROPZgDCSGgx5XKS&amp;gclid=CjwKCAiAmKnKBhBrEiwAaqAnZwe55t_3sLVLbSqAvDklDHoiQkYdAhBlkA5lGZvAZ4CCwNK3pUEkCBoC-4MQAvD_BwE" TargetMode="External"/><Relationship Id="rId10" Type="http://schemas.openxmlformats.org/officeDocument/2006/relationships/hyperlink" Target="https://robu.in/product/2-x-18650-cell-box-without-cover/?gad_source=1&amp;gad_campaignid=17427802559&amp;gbraid=0AAAAADvLFWcHM-epO3ROPZgDCSGgx5XKS&amp;gclid=CjwKCAiAmKnKBhBrEiwAaqAnZ3oWnbeTqXz27U0oWs4rK6icb0kPt-qb4W4YxEQ03vh-1anf1KeAixoC73YQAvD_BwE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www.amazon.in/roboCraze-Arduino-Development-Board-cable/dp/B07G4C4D8F/ref=srd_d_vsims_d_sccl_1_3/260-3680291-7145869?pd_rd_w=Uisy1&amp;content-id=amzn1.sym.7ccbe032-5929-4c88-ab39-4923842061df&amp;pf_rd_p=7ccbe032-5929-4c88-ab39-4923842061df&amp;pf_rd_r=RY700Q6CC8KWRW74108D&amp;pd_rd_wg=saSvP&amp;pd_rd_r=c686d6c1-0de2-4a8e-97cf-e8ce016509ec&amp;pd_rd_i=B07G4C4D8F&amp;psc=1" TargetMode="External"/><Relationship Id="rId2" Type="http://schemas.openxmlformats.org/officeDocument/2006/relationships/hyperlink" Target="https://robu.in/product/phaeton-load-cell-sensor-czl-e-weighing-pressed-down/?gad_source=1&amp;gad_campaignid=20363337560&amp;gbraid=0AAAAADvLFWez3AKzpO17cn1lfMWrPkKf2&amp;gclid=CjwKCAiAmKnKBhBrEiwAaqAnZ5C1vrcQ14PdBUFj9rzmD3gv2png3NrIbx1r2i8jH_fgRebOQ8FxPBoCD-UQAvD_BwE" TargetMode="External"/><Relationship Id="rId3" Type="http://schemas.openxmlformats.org/officeDocument/2006/relationships/hyperlink" Target="https://www.amazon.in/KitsGuru-Dual-Channel-Precision-Weight-Pressure/dp/B078K5SL3M" TargetMode="External"/><Relationship Id="rId4" Type="http://schemas.openxmlformats.org/officeDocument/2006/relationships/hyperlink" Target="https://www.amazon.in/Circuit-Leakage-Detector-development-programming/dp/B08RDKRXY3" TargetMode="External"/><Relationship Id="rId9" Type="http://schemas.openxmlformats.org/officeDocument/2006/relationships/hyperlink" Target="https://robu.in/product/dmegc-inr18650-26e-3-7v-2600mah-li-ion-battery/?gad_source=1&amp;gad_campaignid=17427802559&amp;gbraid=0AAAAADvLFWcHM-epO3ROPZgDCSGgx5XKS&amp;gclid=CjwKCAiAmKnKBhBrEiwAaqAnZ6YbVj28PdczUh-6VsWTyIhbDVB_E8TAsc_zNOQuxwcr45g7_DWJqhoCavAQAvD_BwE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www.amazon.in/Embeddinator-Servo-Motor-MG996-TowerPro/dp/B09YDFP1VX" TargetMode="External"/><Relationship Id="rId6" Type="http://schemas.openxmlformats.org/officeDocument/2006/relationships/hyperlink" Target="https://www.amazon.in/Embeddinator-LM2596-DC-DC-Step-Converter/dp/B0B18MW5CV" TargetMode="External"/><Relationship Id="rId7" Type="http://schemas.openxmlformats.org/officeDocument/2006/relationships/hyperlink" Target="https://www.amazon.in/Circuit-components-Alphanumeric-Display-Interface/dp/B09XXP5NV7?source=ps-sl-shoppingads-lpcontext&amp;ref_=fplfs&amp;psc=1&amp;smid=ANQV8D3OFU21" TargetMode="External"/><Relationship Id="rId8" Type="http://schemas.openxmlformats.org/officeDocument/2006/relationships/hyperlink" Target="https://robocraze.com/products/3-24v-active-piezo-electronic-buzzer-with-continuous-sound-alarm-tone?variant=47790875934944&amp;country=IN&amp;currency=INR&amp;utm_medium=product_sync&amp;utm_source=google&amp;utm_content=sag_organic&amp;utm_campaign=sag_organic&amp;srsltid=AfmBOop7gwt4GuDY0f-pJYkTd2y4cNmZjBy6iaZBTlCMt6gKcSJ71ipJSu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0.88"/>
    <col customWidth="1" min="3" max="3" width="25.13"/>
    <col customWidth="1" min="4" max="5" width="37.63"/>
    <col customWidth="1" min="6" max="6" width="20.63"/>
    <col customWidth="1" min="7" max="7" width="21.13"/>
    <col customWidth="1" min="8" max="8" width="19.5"/>
  </cols>
  <sheetData>
    <row r="2" ht="22.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B3" s="4" t="s">
        <v>7</v>
      </c>
      <c r="C3" s="4" t="s">
        <v>8</v>
      </c>
      <c r="D3" s="4" t="s">
        <v>9</v>
      </c>
      <c r="E3" s="5" t="s">
        <v>10</v>
      </c>
      <c r="F3" s="5" t="s">
        <v>11</v>
      </c>
      <c r="G3" s="6" t="s">
        <v>12</v>
      </c>
      <c r="H3" s="7">
        <v>334.0</v>
      </c>
    </row>
    <row r="4" ht="22.5" customHeight="1">
      <c r="B4" s="4" t="s">
        <v>13</v>
      </c>
      <c r="C4" s="4" t="s">
        <v>14</v>
      </c>
      <c r="D4" s="4" t="s">
        <v>15</v>
      </c>
      <c r="E4" s="5" t="s">
        <v>16</v>
      </c>
      <c r="F4" s="5" t="s">
        <v>17</v>
      </c>
      <c r="G4" s="6" t="s">
        <v>18</v>
      </c>
      <c r="H4" s="7">
        <v>109.0</v>
      </c>
    </row>
    <row r="5" ht="22.5" customHeight="1">
      <c r="B5" s="4" t="s">
        <v>19</v>
      </c>
      <c r="C5" s="4" t="s">
        <v>20</v>
      </c>
      <c r="D5" s="4" t="s">
        <v>21</v>
      </c>
      <c r="E5" s="5" t="s">
        <v>22</v>
      </c>
      <c r="F5" s="5" t="s">
        <v>23</v>
      </c>
      <c r="G5" s="6" t="s">
        <v>24</v>
      </c>
      <c r="H5" s="7">
        <v>106.0</v>
      </c>
    </row>
    <row r="6" ht="22.5" customHeight="1">
      <c r="B6" s="4" t="s">
        <v>25</v>
      </c>
      <c r="C6" s="4" t="s">
        <v>26</v>
      </c>
      <c r="D6" s="4" t="s">
        <v>27</v>
      </c>
      <c r="E6" s="5" t="s">
        <v>28</v>
      </c>
      <c r="F6" s="5" t="s">
        <v>29</v>
      </c>
      <c r="G6" s="6" t="s">
        <v>30</v>
      </c>
      <c r="H6" s="7">
        <v>139.0</v>
      </c>
    </row>
    <row r="7" ht="22.5" customHeight="1">
      <c r="B7" s="4" t="s">
        <v>31</v>
      </c>
      <c r="C7" s="4" t="s">
        <v>32</v>
      </c>
      <c r="D7" s="4" t="s">
        <v>33</v>
      </c>
      <c r="E7" s="5" t="s">
        <v>34</v>
      </c>
      <c r="F7" s="5" t="s">
        <v>35</v>
      </c>
      <c r="G7" s="6" t="s">
        <v>36</v>
      </c>
      <c r="H7" s="7">
        <v>449.0</v>
      </c>
    </row>
    <row r="8" ht="22.5" customHeight="1">
      <c r="B8" s="4" t="s">
        <v>37</v>
      </c>
      <c r="C8" s="4" t="s">
        <v>38</v>
      </c>
      <c r="D8" s="4" t="s">
        <v>39</v>
      </c>
      <c r="E8" s="4" t="s">
        <v>40</v>
      </c>
      <c r="F8" s="5" t="s">
        <v>23</v>
      </c>
      <c r="G8" s="6" t="s">
        <v>41</v>
      </c>
      <c r="H8" s="7">
        <v>99.0</v>
      </c>
    </row>
    <row r="9" ht="22.5" customHeight="1">
      <c r="B9" s="4" t="s">
        <v>42</v>
      </c>
      <c r="C9" s="4" t="s">
        <v>43</v>
      </c>
      <c r="D9" s="4" t="s">
        <v>44</v>
      </c>
      <c r="E9" s="5" t="s">
        <v>45</v>
      </c>
      <c r="F9" s="5" t="s">
        <v>46</v>
      </c>
      <c r="G9" s="6" t="s">
        <v>47</v>
      </c>
      <c r="H9" s="7">
        <v>199.0</v>
      </c>
    </row>
    <row r="10" ht="22.5" customHeight="1">
      <c r="B10" s="4" t="s">
        <v>48</v>
      </c>
      <c r="C10" s="4" t="s">
        <v>49</v>
      </c>
      <c r="D10" s="4" t="s">
        <v>50</v>
      </c>
      <c r="E10" s="5" t="s">
        <v>51</v>
      </c>
      <c r="F10" s="5" t="s">
        <v>52</v>
      </c>
      <c r="G10" s="6" t="s">
        <v>53</v>
      </c>
      <c r="H10" s="7">
        <v>34.0</v>
      </c>
    </row>
    <row r="11" ht="22.5" customHeight="1">
      <c r="B11" s="4" t="s">
        <v>54</v>
      </c>
      <c r="C11" s="4" t="s">
        <v>55</v>
      </c>
      <c r="D11" s="4" t="s">
        <v>56</v>
      </c>
      <c r="E11" s="5" t="s">
        <v>57</v>
      </c>
      <c r="F11" s="5" t="s">
        <v>58</v>
      </c>
      <c r="G11" s="6" t="s">
        <v>59</v>
      </c>
      <c r="H11" s="7">
        <v>198.0</v>
      </c>
    </row>
    <row r="12" ht="22.5" customHeight="1">
      <c r="B12" s="4" t="s">
        <v>60</v>
      </c>
      <c r="C12" s="4" t="s">
        <v>61</v>
      </c>
      <c r="D12" s="4" t="s">
        <v>62</v>
      </c>
      <c r="E12" s="5" t="s">
        <v>63</v>
      </c>
      <c r="F12" s="5" t="s">
        <v>64</v>
      </c>
      <c r="G12" s="6" t="s">
        <v>65</v>
      </c>
      <c r="H12" s="7">
        <v>17.0</v>
      </c>
    </row>
    <row r="13" ht="22.5" customHeight="1">
      <c r="B13" s="4" t="s">
        <v>66</v>
      </c>
      <c r="C13" s="4" t="s">
        <v>67</v>
      </c>
      <c r="D13" s="4" t="s">
        <v>68</v>
      </c>
      <c r="E13" s="5" t="s">
        <v>69</v>
      </c>
      <c r="F13" s="5" t="s">
        <v>29</v>
      </c>
      <c r="G13" s="6" t="s">
        <v>70</v>
      </c>
      <c r="H13" s="7">
        <v>116.0</v>
      </c>
    </row>
    <row r="14" ht="22.5" customHeight="1">
      <c r="B14" s="8" t="s">
        <v>71</v>
      </c>
      <c r="C14" s="9"/>
      <c r="D14" s="9"/>
      <c r="E14" s="10"/>
      <c r="F14" s="11" t="s">
        <v>72</v>
      </c>
      <c r="G14" s="12"/>
      <c r="H14" s="12">
        <f>SUM(Component_Purchase_Specs[Actual Cost (INR)])</f>
        <v>1800</v>
      </c>
    </row>
  </sheetData>
  <hyperlinks>
    <hyperlink r:id="rId1" ref="G3"/>
    <hyperlink r:id="rId2" location="tab-description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</hyperlinks>
  <drawing r:id="rId12"/>
  <tableParts count="1"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5.38"/>
    <col customWidth="1" min="3" max="3" width="35.13"/>
  </cols>
  <sheetData>
    <row r="1">
      <c r="A1" s="13" t="s">
        <v>73</v>
      </c>
      <c r="B1" s="13" t="s">
        <v>1</v>
      </c>
      <c r="C1" s="13" t="s">
        <v>2</v>
      </c>
      <c r="D1" s="14"/>
    </row>
    <row r="2">
      <c r="A2" s="15" t="s">
        <v>7</v>
      </c>
      <c r="B2" s="15" t="s">
        <v>8</v>
      </c>
      <c r="C2" s="15" t="s">
        <v>9</v>
      </c>
    </row>
    <row r="3">
      <c r="A3" s="15" t="s">
        <v>13</v>
      </c>
      <c r="B3" s="15" t="s">
        <v>14</v>
      </c>
      <c r="C3" s="15" t="s">
        <v>15</v>
      </c>
    </row>
    <row r="4">
      <c r="A4" s="15" t="s">
        <v>19</v>
      </c>
      <c r="B4" s="15" t="s">
        <v>20</v>
      </c>
      <c r="C4" s="15" t="s">
        <v>21</v>
      </c>
    </row>
    <row r="5">
      <c r="A5" s="15" t="s">
        <v>25</v>
      </c>
      <c r="B5" s="15" t="s">
        <v>26</v>
      </c>
      <c r="C5" s="15" t="s">
        <v>27</v>
      </c>
    </row>
    <row r="6">
      <c r="A6" s="15" t="s">
        <v>31</v>
      </c>
      <c r="B6" s="15" t="s">
        <v>32</v>
      </c>
      <c r="C6" s="15" t="s">
        <v>33</v>
      </c>
    </row>
    <row r="7">
      <c r="A7" s="15" t="s">
        <v>37</v>
      </c>
      <c r="B7" s="15" t="s">
        <v>38</v>
      </c>
      <c r="C7" s="15" t="s">
        <v>39</v>
      </c>
    </row>
    <row r="8">
      <c r="A8" s="15" t="s">
        <v>42</v>
      </c>
      <c r="B8" s="15" t="s">
        <v>43</v>
      </c>
      <c r="C8" s="15" t="s">
        <v>44</v>
      </c>
    </row>
    <row r="9">
      <c r="A9" s="15" t="s">
        <v>48</v>
      </c>
      <c r="B9" s="15" t="s">
        <v>49</v>
      </c>
      <c r="C9" s="15" t="s">
        <v>50</v>
      </c>
    </row>
    <row r="10">
      <c r="A10" s="15" t="s">
        <v>54</v>
      </c>
      <c r="B10" s="15" t="s">
        <v>55</v>
      </c>
      <c r="C10" s="15" t="s">
        <v>56</v>
      </c>
    </row>
    <row r="11">
      <c r="A11" s="15" t="s">
        <v>60</v>
      </c>
      <c r="B11" s="15" t="s">
        <v>61</v>
      </c>
      <c r="C11" s="15" t="s">
        <v>62</v>
      </c>
    </row>
    <row r="12">
      <c r="A12" s="15" t="s">
        <v>66</v>
      </c>
      <c r="B12" s="15" t="s">
        <v>67</v>
      </c>
      <c r="C12" s="15" t="s">
        <v>68</v>
      </c>
    </row>
    <row r="13">
      <c r="A13" s="16" t="s">
        <v>71</v>
      </c>
      <c r="B13" s="17"/>
      <c r="C13" s="17"/>
    </row>
    <row r="15">
      <c r="A15" s="18" t="s">
        <v>74</v>
      </c>
      <c r="B15" s="14"/>
      <c r="C15" s="14"/>
    </row>
  </sheetData>
  <drawing r:id="rId1"/>
  <tableParts count="1">
    <tablePart r:id="rId3"/>
  </tableParts>
</worksheet>
</file>